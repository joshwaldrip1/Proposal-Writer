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C:\Proposal Creator\"/>
    </mc:Choice>
  </mc:AlternateContent>
  <xr:revisionPtr revIDLastSave="0" documentId="13_ncr:1_{2914F359-F304-4E13-A4B0-253B043A0CF9}" xr6:coauthVersionLast="47" xr6:coauthVersionMax="47" xr10:uidLastSave="{00000000-0000-0000-0000-000000000000}"/>
  <bookViews>
    <workbookView xWindow="28680" yWindow="-22575" windowWidth="16440" windowHeight="28320" xr2:uid="{00000000-000D-0000-FFFF-FFFF00000000}"/>
  </bookViews>
  <sheets>
    <sheet name="txce proposa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1" l="1"/>
  <c r="P7" i="1"/>
  <c r="J7" i="1"/>
  <c r="D7" i="1"/>
</calcChain>
</file>

<file path=xl/sharedStrings.xml><?xml version="1.0" encoding="utf-8"?>
<sst xmlns="http://schemas.openxmlformats.org/spreadsheetml/2006/main" count="104" uniqueCount="46">
  <si>
    <t>TXCE Proposals</t>
  </si>
  <si>
    <t>Use this board to receive project requests via a form and manage the project approval process. 
How it works: once the form is submitted, it will populate in the 'New requests' group. Once approved, a new item will be created in the 'Portfolio Management' board, which is linked to the project request.</t>
  </si>
  <si>
    <t/>
  </si>
  <si>
    <t>Proposals</t>
  </si>
  <si>
    <t>Name</t>
  </si>
  <si>
    <t>Requested on</t>
  </si>
  <si>
    <t>Project Name</t>
  </si>
  <si>
    <t>Project Number</t>
  </si>
  <si>
    <t>PM</t>
  </si>
  <si>
    <t>Status</t>
  </si>
  <si>
    <t>Market Sector</t>
  </si>
  <si>
    <t>Proposal Type</t>
  </si>
  <si>
    <t>Fee</t>
  </si>
  <si>
    <t>Contact Name</t>
  </si>
  <si>
    <t>Company/Owner</t>
  </si>
  <si>
    <t>Location</t>
  </si>
  <si>
    <t>Contact Address</t>
  </si>
  <si>
    <t>Description of project</t>
  </si>
  <si>
    <t>Latitude @ Center of Project</t>
  </si>
  <si>
    <t>Longitude @ Center of Project</t>
  </si>
  <si>
    <t>Files for Reference</t>
  </si>
  <si>
    <t>Estimated Date Range until Construction - Start</t>
  </si>
  <si>
    <t>Estimated Date Range until Construction - End</t>
  </si>
  <si>
    <t>Contact Phone Number</t>
  </si>
  <si>
    <t>Preferred Method of Communication:</t>
  </si>
  <si>
    <t>Contact Email</t>
  </si>
  <si>
    <t>Has Due Diligence been done for this project?</t>
  </si>
  <si>
    <t>Provide information gathered in due diligence.</t>
  </si>
  <si>
    <t>Has a Pre-Development Meeting been done with the City or County this is in?</t>
  </si>
  <si>
    <t>What major items or requirements did the City or County mention?</t>
  </si>
  <si>
    <t>Email</t>
  </si>
  <si>
    <t>Mar 18, 2025 10:26 AM</t>
  </si>
  <si>
    <t>Topic: Update on Environmental Proposal Progress
Current status: Awaiting response from the Architect regarding the proposal.
Participants: Rob Foster, Jeramy
Details: Rob Foster provided updates on the environmental proposal, noting that he is awaiting feedback from the Architect and that Jeramy is addressing due diligence to comply with building height restrictions. Rob has checked in to assess the progress on the Architect's side.
Last updated on Jul 18, 2025</t>
  </si>
  <si>
    <t>Rob Foster</t>
  </si>
  <si>
    <t>Proposal Sent</t>
  </si>
  <si>
    <t>Commercial</t>
  </si>
  <si>
    <t>Typical</t>
  </si>
  <si>
    <t>4775 Bryant Irvin Ct, Fort Worth, TX 76107, USA</t>
  </si>
  <si>
    <t xml:space="preserve">2-story, 14,000sf (total) medical/professional office development. </t>
  </si>
  <si>
    <t>casey@jaw-arch.com</t>
  </si>
  <si>
    <t>0/1</t>
  </si>
  <si>
    <t>Description of Project</t>
  </si>
  <si>
    <t>Jeramy Williams</t>
  </si>
  <si>
    <t>Mavano, LLC</t>
  </si>
  <si>
    <t>6115 Camp Bowie Blvd, Ste 200, Fort Worth, TX 76116</t>
  </si>
  <si>
    <t>JAW Headquarters - Office 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</si>
</sst>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name val="Arial"/>
      <family val="1"/>
    </font>
    <font>
      <b/>
      <sz val="15"/>
      <name val="Arial"/>
      <family val="1"/>
    </font>
    <font>
      <b/>
      <sz val="14"/>
      <name val="Arial"/>
      <family val="1"/>
    </font>
    <font>
      <b/>
      <sz val="11"/>
      <color rgb="FF000000"/>
      <name val="Arial"/>
      <family val="1"/>
    </font>
    <font>
      <b/>
      <sz val="11"/>
      <color rgb="FF000000"/>
      <name val="Arial"/>
      <family val="1"/>
    </font>
    <font>
      <b/>
      <sz val="11"/>
      <color rgb="FF000000"/>
      <name val="Arial"/>
      <family val="1"/>
    </font>
    <font>
      <b/>
      <sz val="14"/>
      <color rgb="FF579BFC"/>
      <name val="Arial"/>
      <family val="1"/>
    </font>
    <font>
      <sz val="11"/>
      <color rgb="FFFFFFFF"/>
      <name val="Arial"/>
      <family val="1"/>
    </font>
    <font>
      <sz val="11"/>
      <color rgb="FFFFFFFF"/>
      <name val="Arial"/>
      <family val="1"/>
    </font>
    <font>
      <sz val="11"/>
      <color rgb="FFFFFFFF"/>
      <name val="Arial"/>
      <family val="1"/>
    </font>
    <font>
      <b/>
      <sz val="11"/>
      <color rgb="FF000000"/>
      <name val="Arial"/>
      <family val="1"/>
    </font>
  </fonts>
  <fills count="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00C875"/>
      </patternFill>
    </fill>
    <fill>
      <patternFill patternType="solid">
        <fgColor rgb="FF66CCFF"/>
      </patternFill>
    </fill>
    <fill>
      <patternFill patternType="solid">
        <fgColor rgb="FFC4C4C4"/>
      </patternFill>
    </fill>
    <fill>
      <patternFill patternType="solid">
        <fgColor rgb="FFEFEFEF"/>
      </patternFill>
    </fill>
  </fills>
  <borders count="4">
    <border>
      <left/>
      <right/>
      <top/>
      <bottom/>
      <diagonal/>
    </border>
    <border>
      <left style="thick">
        <color rgb="FF00B461"/>
      </left>
      <right style="thick">
        <color rgb="FF00B461"/>
      </right>
      <top style="thick">
        <color rgb="FF00B461"/>
      </top>
      <bottom style="thick">
        <color rgb="FF00B461"/>
      </bottom>
      <diagonal/>
    </border>
    <border>
      <left style="thick">
        <color rgb="FF5AB3E0"/>
      </left>
      <right style="thick">
        <color rgb="FF5AB3E0"/>
      </right>
      <top style="thick">
        <color rgb="FF5AB3E0"/>
      </top>
      <bottom style="thick">
        <color rgb="FF5AB3E0"/>
      </bottom>
      <diagonal/>
    </border>
    <border>
      <left style="thick">
        <color rgb="FFB0B0B0"/>
      </left>
      <right style="thick">
        <color rgb="FFB0B0B0"/>
      </right>
      <top style="thick">
        <color rgb="FFB0B0B0"/>
      </top>
      <bottom style="thick">
        <color rgb="FFB0B0B0"/>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2" borderId="0" xfId="0" applyFont="1" applyFill="1" applyAlignment="1">
      <alignment horizontal="center" vertical="center"/>
    </xf>
    <xf numFmtId="0" fontId="4" fillId="3" borderId="0" xfId="0" applyFont="1" applyFill="1" applyAlignment="1">
      <alignment horizontal="left" vertical="center"/>
    </xf>
    <xf numFmtId="164" fontId="5" fillId="4" borderId="0" xfId="0" applyNumberFormat="1" applyFont="1" applyFill="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0" fontId="6" fillId="0" borderId="0" xfId="0" applyFont="1" applyAlignment="1">
      <alignment vertical="center"/>
    </xf>
    <xf numFmtId="0" fontId="7" fillId="5" borderId="1" xfId="0" applyFont="1" applyFill="1" applyBorder="1" applyAlignment="1">
      <alignment horizontal="center" vertical="center"/>
    </xf>
    <xf numFmtId="0" fontId="8" fillId="6" borderId="2" xfId="0" applyFont="1" applyFill="1" applyBorder="1" applyAlignment="1">
      <alignment horizontal="center" vertical="center"/>
    </xf>
    <xf numFmtId="0" fontId="9" fillId="7" borderId="3" xfId="0" applyFont="1" applyFill="1" applyBorder="1" applyAlignment="1">
      <alignment horizontal="center" vertical="center"/>
    </xf>
    <xf numFmtId="0" fontId="10" fillId="8" borderId="0" xfId="0" applyFont="1" applyFill="1" applyAlignment="1">
      <alignment horizontal="center" vertical="center"/>
    </xf>
    <xf numFmtId="22" fontId="0" fillId="0" borderId="0" xfId="0" applyNumberForma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monday.com?utm_source=virality&amp;utm_campaign=export_to_excel&amp;utm_banner=powered_by_monday"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Picture 1">
          <a:hlinkClick xmlns:r="http://schemas.openxmlformats.org/officeDocument/2006/relationships" r:id="rId1" tooltip="Powered by monday.com"/>
          <a:extLst>
            <a:ext uri="{FF2B5EF4-FFF2-40B4-BE49-F238E27FC236}">
              <a16:creationId xmlns:a16="http://schemas.microsoft.com/office/drawing/2014/main" id="{00000000-0008-0000-0000-000002000000}"/>
            </a:ext>
          </a:extLst>
        </xdr:cNvPr>
        <xdr:cNvPicPr>
          <a:picLocks noChangeAspect="1" noMove="1"/>
        </xdr:cNvPicPr>
      </xdr:nvPicPr>
      <xdr:blipFill>
        <a:blip xmlns:r="http://schemas.openxmlformats.org/officeDocument/2006/relationships" r:embed="rId2"/>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29"/>
  <sheetViews>
    <sheetView tabSelected="1" showOutlineSymbols="0" showWhiteSpace="0" workbookViewId="0">
      <selection activeCell="A6" sqref="A6"/>
    </sheetView>
  </sheetViews>
  <sheetFormatPr defaultRowHeight="13.8" x14ac:dyDescent="0.25"/>
  <cols>
    <col min="1" max="1" width="27" bestFit="1" customWidth="1"/>
    <col min="2" max="2" width="24.19921875" bestFit="1" customWidth="1"/>
    <col min="3" max="4" width="19.69921875" bestFit="1" customWidth="1"/>
    <col min="5" max="5" width="311.19921875" bestFit="1" customWidth="1"/>
    <col min="6" max="6" width="9.8984375" bestFit="1" customWidth="1"/>
    <col min="7" max="7" width="12.09765625" bestFit="1" customWidth="1"/>
    <col min="8" max="8" width="14.8984375" bestFit="1" customWidth="1"/>
    <col min="9" max="9" width="19.69921875" bestFit="1" customWidth="1"/>
    <col min="10" max="10" width="8.69921875" bestFit="1" customWidth="1"/>
    <col min="11" max="11" width="31.8984375" bestFit="1" customWidth="1"/>
    <col min="12" max="12" width="23.09765625" bestFit="1" customWidth="1"/>
    <col min="13" max="13" width="41.69921875" bestFit="1" customWidth="1"/>
    <col min="14" max="14" width="56.09765625" bestFit="1" customWidth="1"/>
    <col min="15" max="15" width="44" bestFit="1" customWidth="1"/>
    <col min="16" max="16" width="31.3984375" bestFit="1" customWidth="1"/>
    <col min="17" max="17" width="36.19921875" bestFit="1" customWidth="1"/>
    <col min="18" max="18" width="21.5" bestFit="1" customWidth="1"/>
    <col min="19" max="19" width="46.19921875" bestFit="1" customWidth="1"/>
    <col min="20" max="20" width="49.5" bestFit="1" customWidth="1"/>
    <col min="21" max="21" width="29.69921875" bestFit="1" customWidth="1"/>
    <col min="22" max="22" width="42.8984375" bestFit="1" customWidth="1"/>
    <col min="23" max="23" width="14.8984375" bestFit="1" customWidth="1"/>
    <col min="24" max="24" width="54.5" bestFit="1" customWidth="1"/>
    <col min="25" max="25" width="52.69921875" bestFit="1" customWidth="1"/>
    <col min="26" max="26" width="92.3984375" bestFit="1" customWidth="1"/>
    <col min="27" max="27" width="74.19921875" bestFit="1" customWidth="1"/>
    <col min="28" max="28" width="8.19921875" bestFit="1" customWidth="1"/>
  </cols>
  <sheetData>
    <row r="1" spans="1:28" ht="39.9" customHeight="1" x14ac:dyDescent="0.25">
      <c r="A1" s="1" t="s">
        <v>0</v>
      </c>
    </row>
    <row r="2" spans="1:28" ht="30" customHeight="1" x14ac:dyDescent="0.25">
      <c r="A2" s="2" t="s">
        <v>1</v>
      </c>
    </row>
    <row r="3" spans="1:28" ht="20.100000000000001" customHeight="1" x14ac:dyDescent="0.25">
      <c r="A3" t="s">
        <v>2</v>
      </c>
      <c r="B3" t="s">
        <v>2</v>
      </c>
      <c r="C3" t="s">
        <v>2</v>
      </c>
      <c r="D3" t="s">
        <v>2</v>
      </c>
      <c r="E3" t="s">
        <v>2</v>
      </c>
      <c r="F3" t="s">
        <v>2</v>
      </c>
      <c r="G3" t="s">
        <v>2</v>
      </c>
      <c r="H3" t="s">
        <v>2</v>
      </c>
      <c r="I3" t="s">
        <v>2</v>
      </c>
      <c r="J3" t="s">
        <v>2</v>
      </c>
      <c r="K3" t="s">
        <v>2</v>
      </c>
      <c r="L3" t="s">
        <v>2</v>
      </c>
      <c r="M3" t="s">
        <v>2</v>
      </c>
      <c r="N3" t="s">
        <v>2</v>
      </c>
      <c r="O3" t="s">
        <v>2</v>
      </c>
      <c r="P3" t="s">
        <v>2</v>
      </c>
      <c r="Q3" t="s">
        <v>2</v>
      </c>
      <c r="R3" t="s">
        <v>2</v>
      </c>
      <c r="S3" t="s">
        <v>2</v>
      </c>
      <c r="T3" t="s">
        <v>2</v>
      </c>
      <c r="U3" t="s">
        <v>2</v>
      </c>
      <c r="V3" t="s">
        <v>2</v>
      </c>
      <c r="W3" t="s">
        <v>2</v>
      </c>
      <c r="X3" t="s">
        <v>2</v>
      </c>
      <c r="Y3" t="s">
        <v>2</v>
      </c>
      <c r="Z3" t="s">
        <v>2</v>
      </c>
      <c r="AA3" t="s">
        <v>2</v>
      </c>
    </row>
    <row r="4" spans="1:28" ht="20.100000000000001" customHeight="1" x14ac:dyDescent="0.25">
      <c r="A4" s="8" t="s">
        <v>3</v>
      </c>
    </row>
    <row r="5" spans="1:28" ht="20.100000000000001" customHeight="1" x14ac:dyDescent="0.25">
      <c r="A5" s="4" t="s">
        <v>4</v>
      </c>
      <c r="B5" s="3" t="s">
        <v>5</v>
      </c>
      <c r="C5" s="3" t="s">
        <v>6</v>
      </c>
      <c r="D5" s="3" t="s">
        <v>7</v>
      </c>
      <c r="E5" s="3" t="s">
        <v>41</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row>
    <row r="6" spans="1:28" ht="20.100000000000001" customHeight="1" x14ac:dyDescent="0.25">
      <c r="A6" s="7" t="s">
        <v>45</v>
      </c>
      <c r="B6" s="7" t="s">
        <v>31</v>
      </c>
      <c r="C6" s="7" t="s">
        <v>45</v>
      </c>
      <c r="D6" s="7" t="s">
        <v>2</v>
      </c>
      <c r="E6" s="7" t="s">
        <v>32</v>
      </c>
      <c r="F6" s="7" t="s">
        <v>33</v>
      </c>
      <c r="G6" s="9" t="s">
        <v>34</v>
      </c>
      <c r="H6" s="10" t="s">
        <v>35</v>
      </c>
      <c r="I6" s="11" t="s">
        <v>36</v>
      </c>
      <c r="J6" s="7">
        <v>46500</v>
      </c>
      <c r="K6" s="7" t="s">
        <v>42</v>
      </c>
      <c r="L6" s="7" t="s">
        <v>43</v>
      </c>
      <c r="M6" s="7" t="s">
        <v>37</v>
      </c>
      <c r="N6" s="7" t="s">
        <v>44</v>
      </c>
      <c r="O6" s="7" t="s">
        <v>38</v>
      </c>
      <c r="P6" s="7" t="s">
        <v>2</v>
      </c>
      <c r="Q6" s="7" t="s">
        <v>2</v>
      </c>
      <c r="R6" s="7" t="s">
        <v>2</v>
      </c>
      <c r="S6" s="6">
        <v>45742</v>
      </c>
      <c r="T6" s="6">
        <v>46174</v>
      </c>
      <c r="U6" s="7">
        <v>18177819665</v>
      </c>
      <c r="V6" s="7" t="s">
        <v>30</v>
      </c>
      <c r="W6" s="7" t="s">
        <v>39</v>
      </c>
      <c r="X6" s="7" t="s">
        <v>2</v>
      </c>
      <c r="Y6" s="7" t="s">
        <v>2</v>
      </c>
      <c r="Z6" s="7" t="s">
        <v>2</v>
      </c>
      <c r="AA6" s="7" t="s">
        <v>2</v>
      </c>
      <c r="AB6" s="7" t="s">
        <v>2</v>
      </c>
    </row>
    <row r="7" spans="1:28" ht="20.100000000000001" customHeight="1" x14ac:dyDescent="0.25">
      <c r="A7" t="s">
        <v>2</v>
      </c>
      <c r="B7" t="s">
        <v>2</v>
      </c>
      <c r="C7" t="s">
        <v>2</v>
      </c>
      <c r="D7" s="12">
        <f>SUM(D6:D6)</f>
        <v>0</v>
      </c>
      <c r="E7" t="s">
        <v>2</v>
      </c>
      <c r="F7" t="s">
        <v>2</v>
      </c>
      <c r="G7" t="s">
        <v>2</v>
      </c>
      <c r="H7" t="s">
        <v>2</v>
      </c>
      <c r="I7" t="s">
        <v>2</v>
      </c>
      <c r="J7" s="12">
        <f>SUM(J6:J6)</f>
        <v>46500</v>
      </c>
      <c r="K7" t="s">
        <v>2</v>
      </c>
      <c r="L7" t="s">
        <v>2</v>
      </c>
      <c r="M7" t="s">
        <v>2</v>
      </c>
      <c r="N7" t="s">
        <v>2</v>
      </c>
      <c r="O7" t="s">
        <v>2</v>
      </c>
      <c r="P7" s="12">
        <f>SUM(P6:P6)</f>
        <v>0</v>
      </c>
      <c r="Q7" s="12">
        <f>SUM(Q6:Q6)</f>
        <v>0</v>
      </c>
      <c r="R7" t="s">
        <v>2</v>
      </c>
      <c r="S7" s="5">
        <v>45742</v>
      </c>
      <c r="T7" s="5">
        <v>46174</v>
      </c>
      <c r="U7" t="s">
        <v>2</v>
      </c>
      <c r="V7" t="s">
        <v>2</v>
      </c>
      <c r="W7" t="s">
        <v>2</v>
      </c>
      <c r="X7" s="12" t="s">
        <v>40</v>
      </c>
      <c r="Y7" t="s">
        <v>2</v>
      </c>
      <c r="Z7" s="12" t="s">
        <v>40</v>
      </c>
      <c r="AA7" t="s">
        <v>2</v>
      </c>
      <c r="AB7" t="s">
        <v>2</v>
      </c>
    </row>
    <row r="11" spans="1:28" x14ac:dyDescent="0.25">
      <c r="B11" s="13"/>
    </row>
    <row r="14" spans="1:28" x14ac:dyDescent="0.25">
      <c r="B14" s="14"/>
    </row>
    <row r="28" spans="2:2" x14ac:dyDescent="0.25">
      <c r="B28" s="15"/>
    </row>
    <row r="29" spans="2:2" x14ac:dyDescent="0.25">
      <c r="B29" s="15"/>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txce proposals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Rob Foster, PE</cp:lastModifiedBy>
  <cp:revision>0</cp:revision>
  <dcterms:created xsi:type="dcterms:W3CDTF">2025-09-22T18:19:44Z</dcterms:created>
  <dcterms:modified xsi:type="dcterms:W3CDTF">2026-01-19T22:09:23Z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dec900b-4c91-4db2-a905-20c441ef1cd8_Enabled">
    <vt:lpwstr>true</vt:lpwstr>
  </property>
  <property fmtid="{D5CDD505-2E9C-101B-9397-08002B2CF9AE}" pid="3" name="MSIP_Label_fdec900b-4c91-4db2-a905-20c441ef1cd8_SetDate">
    <vt:lpwstr>2025-09-22T19:49:21Z</vt:lpwstr>
  </property>
  <property fmtid="{D5CDD505-2E9C-101B-9397-08002B2CF9AE}" pid="4" name="MSIP_Label_fdec900b-4c91-4db2-a905-20c441ef1cd8_Method">
    <vt:lpwstr>Standard</vt:lpwstr>
  </property>
  <property fmtid="{D5CDD505-2E9C-101B-9397-08002B2CF9AE}" pid="5" name="MSIP_Label_fdec900b-4c91-4db2-a905-20c441ef1cd8_Name">
    <vt:lpwstr>defa4170-0d19-0005-0004-bc88714345d2</vt:lpwstr>
  </property>
  <property fmtid="{D5CDD505-2E9C-101B-9397-08002B2CF9AE}" pid="6" name="MSIP_Label_fdec900b-4c91-4db2-a905-20c441ef1cd8_SiteId">
    <vt:lpwstr>823901fa-f219-4414-b60c-bc626703d458</vt:lpwstr>
  </property>
  <property fmtid="{D5CDD505-2E9C-101B-9397-08002B2CF9AE}" pid="7" name="MSIP_Label_fdec900b-4c91-4db2-a905-20c441ef1cd8_ActionId">
    <vt:lpwstr>cd5ae3f9-f725-4c14-9ae5-aea28f5d708f</vt:lpwstr>
  </property>
  <property fmtid="{D5CDD505-2E9C-101B-9397-08002B2CF9AE}" pid="8" name="MSIP_Label_fdec900b-4c91-4db2-a905-20c441ef1cd8_ContentBits">
    <vt:lpwstr>0</vt:lpwstr>
  </property>
  <property fmtid="{D5CDD505-2E9C-101B-9397-08002B2CF9AE}" pid="9" name="MSIP_Label_fdec900b-4c91-4db2-a905-20c441ef1cd8_Tag">
    <vt:lpwstr>10, 3, 0, 1</vt:lpwstr>
  </property>
</Properties>
</file>